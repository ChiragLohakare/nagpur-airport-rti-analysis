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hirag lohakare\Desktop\"/>
    </mc:Choice>
  </mc:AlternateContent>
  <xr:revisionPtr revIDLastSave="0" documentId="8_{8A97216E-76C6-48AF-BC00-AAB5C7D90CE6}" xr6:coauthVersionLast="47" xr6:coauthVersionMax="47" xr10:uidLastSave="{00000000-0000-0000-0000-000000000000}"/>
  <bookViews>
    <workbookView xWindow="-108" yWindow="-108" windowWidth="23256" windowHeight="12456" tabRatio="500" activeTab="3" xr2:uid="{00000000-000D-0000-FFFF-FFFF00000000}"/>
  </bookViews>
  <sheets>
    <sheet name="Passenger Traffic" sheetId="1" r:id="rId1"/>
    <sheet name="Cargo Traffic" sheetId="2" r:id="rId2"/>
    <sheet name="Aircraft Movements" sheetId="3" r:id="rId3"/>
    <sheet name="Airport Revenue" sheetId="4" r:id="rId4"/>
    <sheet name="Capital Expenditure" sheetId="5" r:id="rId5"/>
    <sheet name="Master Data (Power BI)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2" i="6" l="1"/>
  <c r="D12" i="6"/>
  <c r="H11" i="6"/>
  <c r="D11" i="6"/>
  <c r="H10" i="6"/>
  <c r="D10" i="6"/>
  <c r="H9" i="6"/>
  <c r="D9" i="6"/>
  <c r="H8" i="6"/>
  <c r="D8" i="6"/>
  <c r="H7" i="6"/>
  <c r="D7" i="6"/>
  <c r="H6" i="6"/>
  <c r="D6" i="6"/>
  <c r="H5" i="6"/>
  <c r="D5" i="6"/>
  <c r="H4" i="6"/>
  <c r="D4" i="6"/>
  <c r="H3" i="6"/>
  <c r="D3" i="6"/>
  <c r="B14" i="5"/>
  <c r="C13" i="5"/>
  <c r="C12" i="5"/>
  <c r="C11" i="5"/>
  <c r="C10" i="5"/>
  <c r="C9" i="5"/>
  <c r="C8" i="5"/>
  <c r="C7" i="5"/>
  <c r="C6" i="5"/>
  <c r="C5" i="5"/>
  <c r="C14" i="4"/>
  <c r="B14" i="4"/>
  <c r="D13" i="4"/>
  <c r="E13" i="4" s="1"/>
  <c r="D12" i="4"/>
  <c r="D11" i="4"/>
  <c r="E11" i="4" s="1"/>
  <c r="D10" i="4"/>
  <c r="E10" i="4" s="1"/>
  <c r="D9" i="4"/>
  <c r="E9" i="4" s="1"/>
  <c r="D8" i="4"/>
  <c r="E8" i="4" s="1"/>
  <c r="E7" i="4"/>
  <c r="D7" i="4"/>
  <c r="E6" i="4"/>
  <c r="D6" i="4"/>
  <c r="D5" i="4"/>
  <c r="D4" i="4"/>
  <c r="E5" i="4" s="1"/>
  <c r="B14" i="3"/>
  <c r="C13" i="3"/>
  <c r="C12" i="3"/>
  <c r="C11" i="3"/>
  <c r="C10" i="3"/>
  <c r="C9" i="3"/>
  <c r="C8" i="3"/>
  <c r="C7" i="3"/>
  <c r="C6" i="3"/>
  <c r="C5" i="3"/>
  <c r="C12" i="2"/>
  <c r="B12" i="2"/>
  <c r="D11" i="2"/>
  <c r="E11" i="2" s="1"/>
  <c r="E10" i="2"/>
  <c r="D10" i="2"/>
  <c r="E9" i="2"/>
  <c r="D9" i="2"/>
  <c r="E8" i="2"/>
  <c r="D8" i="2"/>
  <c r="E7" i="2"/>
  <c r="D7" i="2"/>
  <c r="D6" i="2"/>
  <c r="D5" i="2"/>
  <c r="E6" i="2" s="1"/>
  <c r="D4" i="2"/>
  <c r="D12" i="2" s="1"/>
  <c r="D14" i="1"/>
  <c r="C14" i="1"/>
  <c r="E13" i="1"/>
  <c r="E12" i="1"/>
  <c r="E11" i="1"/>
  <c r="E10" i="1"/>
  <c r="E9" i="1"/>
  <c r="E8" i="1"/>
  <c r="E7" i="1"/>
  <c r="E6" i="1"/>
  <c r="E5" i="1"/>
  <c r="E4" i="1"/>
  <c r="E14" i="1" s="1"/>
  <c r="E12" i="4" l="1"/>
  <c r="D14" i="4"/>
  <c r="E5" i="2"/>
</calcChain>
</file>

<file path=xl/sharedStrings.xml><?xml version="1.0" encoding="utf-8"?>
<sst xmlns="http://schemas.openxmlformats.org/spreadsheetml/2006/main" count="111" uniqueCount="40">
  <si>
    <t>DR. BABASAHEB AMBEDKAR INTERNATIONAL AIRPORT, NAGPUR — PASSENGER TRAFFIC</t>
  </si>
  <si>
    <t>Source: RTI Application (MIL/111-G/2026/1064) | FY 2015-16 to FY 2024-25</t>
  </si>
  <si>
    <t>SR No.</t>
  </si>
  <si>
    <t>Financial Year</t>
  </si>
  <si>
    <t>Domestic PAX</t>
  </si>
  <si>
    <t>International PAX</t>
  </si>
  <si>
    <t>Total PAX</t>
  </si>
  <si>
    <t>FY 2015-16</t>
  </si>
  <si>
    <t>FY 2016-17</t>
  </si>
  <si>
    <t>FY 2017-18</t>
  </si>
  <si>
    <t>FY 2018-19</t>
  </si>
  <si>
    <t>FY 2019-20</t>
  </si>
  <si>
    <t>FY 2020-21</t>
  </si>
  <si>
    <t>FY 2021-22</t>
  </si>
  <si>
    <t>FY 2022-23</t>
  </si>
  <si>
    <t>FY 2023-24</t>
  </si>
  <si>
    <t>FY 2024-25</t>
  </si>
  <si>
    <t>TOTAL</t>
  </si>
  <si>
    <t>DR. BABASAHEB AMBEDKAR INTERNATIONAL AIRPORT, NAGPUR — CARGO TRAFFIC (Metric Tons)</t>
  </si>
  <si>
    <t>Source: RTI Application (MIL/111-G/2026/1064) | FY 2017-18 to FY 2024-25 | Domestic + International</t>
  </si>
  <si>
    <t>Total Cargo IN (MT)</t>
  </si>
  <si>
    <t>Total Cargo OUT (MT)</t>
  </si>
  <si>
    <t>Total Cargo (MT)</t>
  </si>
  <si>
    <t>YoY Growth (%)</t>
  </si>
  <si>
    <t>N/A</t>
  </si>
  <si>
    <t>DR. BABASAHEB AMBEDKAR INTERNATIONAL AIRPORT, NAGPUR — AIRCRAFT MOVEMENTS (ATM)</t>
  </si>
  <si>
    <t>Source: RTI Application (MIL/111-G/2026/1064) | FY 2015-16 to FY 2024-25 | ARR + DEP</t>
  </si>
  <si>
    <t>Total Movements (ARR+DEP)</t>
  </si>
  <si>
    <t>DR. BABASAHEB AMBEDKAR INTERNATIONAL AIRPORT, NAGPUR — AIRPORT REVENUE (₹ Lakhs)</t>
  </si>
  <si>
    <t>Source: RTI Application (MIL/111-G/2026/1064) | FY 2015-16 to FY 2024-25 | All values in ₹ Lakhs</t>
  </si>
  <si>
    <t>Aeronautical Revenue (₹L)</t>
  </si>
  <si>
    <t>Non-Aeronautical Revenue (₹L)</t>
  </si>
  <si>
    <t>Total Revenue (₹L)</t>
  </si>
  <si>
    <t>DR. BABASAHEB AMBEDKAR INTERNATIONAL AIRPORT, NAGPUR — CAPITAL EXPENDITURE (₹ Lakhs)</t>
  </si>
  <si>
    <t>Capital Expenditure (₹L)</t>
  </si>
  <si>
    <t>YoY Change (%)</t>
  </si>
  <si>
    <t>MASTER DATA TABLE — DR. BABASAHEB AMBEDKAR INTERNATIONAL AIRPORT, NAGPUR (RTI 2026) — Power BI Ready</t>
  </si>
  <si>
    <t>Total ATM (Movements)</t>
  </si>
  <si>
    <t>Aero Revenue (₹L)</t>
  </si>
  <si>
    <t>Non-Aero Revenue (₹L)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</si>
</sst>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i/>
      <sz val="9"/>
      <color rgb="FF666666"/>
      <name val="Arial"/>
      <family val="2"/>
    </font>
    <font>
      <b/>
      <sz val="10"/>
      <color rgb="FFFFFFFF"/>
      <name val="Arial"/>
      <family val="2"/>
    </font>
    <font>
      <sz val="10"/>
      <color rgb="FF1A1A2E"/>
      <name val="Arial"/>
      <family val="2"/>
    </font>
    <font>
      <b/>
      <sz val="12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4472C4"/>
        <bgColor rgb="FF666666"/>
      </patternFill>
    </fill>
    <fill>
      <patternFill patternType="solid">
        <fgColor rgb="FFEBF3FB"/>
        <bgColor rgb="FFFFFFFF"/>
      </patternFill>
    </fill>
    <fill>
      <patternFill patternType="solid">
        <fgColor rgb="FFFFFFFF"/>
        <bgColor rgb="FFEBF3FB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5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3" fontId="4" fillId="4" borderId="1" xfId="0" applyNumberFormat="1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center" vertical="center"/>
    </xf>
    <xf numFmtId="3" fontId="4" fillId="5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center" vertical="center" wrapText="1"/>
    </xf>
    <xf numFmtId="3" fontId="3" fillId="2" borderId="1" xfId="0" applyNumberFormat="1" applyFont="1" applyFill="1" applyBorder="1" applyAlignment="1">
      <alignment horizontal="right" vertical="center"/>
    </xf>
    <xf numFmtId="4" fontId="4" fillId="4" borderId="1" xfId="0" applyNumberFormat="1" applyFont="1" applyFill="1" applyBorder="1" applyAlignment="1">
      <alignment horizontal="right" vertical="center"/>
    </xf>
    <xf numFmtId="4" fontId="4" fillId="5" borderId="1" xfId="0" applyNumberFormat="1" applyFont="1" applyFill="1" applyBorder="1" applyAlignment="1">
      <alignment horizontal="right" vertical="center"/>
    </xf>
    <xf numFmtId="164" fontId="4" fillId="5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EB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1A1A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zoomScaleNormal="100" workbookViewId="0">
      <pane ySplit="3" topLeftCell="A4" activePane="bottomLeft" state="frozen"/>
      <selection pane="bottomLeft" sqref="A1:E1"/>
    </sheetView>
  </sheetViews>
  <sheetFormatPr defaultColWidth="8.6640625" defaultRowHeight="14.4" x14ac:dyDescent="0.3"/>
  <cols>
    <col min="1" max="1" width="8" customWidth="1"/>
    <col min="2" max="2" width="16" customWidth="1"/>
    <col min="3" max="3" width="18" customWidth="1"/>
    <col min="4" max="4" width="20" customWidth="1"/>
    <col min="5" max="5" width="16" customWidth="1"/>
  </cols>
  <sheetData>
    <row r="1" spans="1:5" ht="30" customHeight="1" x14ac:dyDescent="0.3">
      <c r="A1" s="3" t="s">
        <v>0</v>
      </c>
      <c r="B1" s="3"/>
      <c r="C1" s="3"/>
      <c r="D1" s="3"/>
      <c r="E1" s="3"/>
    </row>
    <row r="2" spans="1:5" ht="18" customHeight="1" x14ac:dyDescent="0.3">
      <c r="A2" s="2" t="s">
        <v>1</v>
      </c>
      <c r="B2" s="2"/>
      <c r="C2" s="2"/>
      <c r="D2" s="2"/>
      <c r="E2" s="2"/>
    </row>
    <row r="3" spans="1:5" ht="31.5" customHeight="1" x14ac:dyDescent="0.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</row>
    <row r="4" spans="1:5" x14ac:dyDescent="0.3">
      <c r="A4" s="5">
        <v>1</v>
      </c>
      <c r="B4" s="5" t="s">
        <v>7</v>
      </c>
      <c r="C4" s="6">
        <v>1483014</v>
      </c>
      <c r="D4" s="6">
        <v>70010</v>
      </c>
      <c r="E4" s="6">
        <f t="shared" ref="E4:E13" si="0">C4+D4</f>
        <v>1553024</v>
      </c>
    </row>
    <row r="5" spans="1:5" x14ac:dyDescent="0.3">
      <c r="A5" s="7">
        <v>2</v>
      </c>
      <c r="B5" s="7" t="s">
        <v>8</v>
      </c>
      <c r="C5" s="8">
        <v>1791607</v>
      </c>
      <c r="D5" s="8">
        <v>109403</v>
      </c>
      <c r="E5" s="8">
        <f t="shared" si="0"/>
        <v>1901010</v>
      </c>
    </row>
    <row r="6" spans="1:5" x14ac:dyDescent="0.3">
      <c r="A6" s="5">
        <v>3</v>
      </c>
      <c r="B6" s="5" t="s">
        <v>9</v>
      </c>
      <c r="C6" s="6">
        <v>2070543</v>
      </c>
      <c r="D6" s="6">
        <v>105896</v>
      </c>
      <c r="E6" s="6">
        <f t="shared" si="0"/>
        <v>2176439</v>
      </c>
    </row>
    <row r="7" spans="1:5" x14ac:dyDescent="0.3">
      <c r="A7" s="7">
        <v>4</v>
      </c>
      <c r="B7" s="7" t="s">
        <v>10</v>
      </c>
      <c r="C7" s="8">
        <v>2700756</v>
      </c>
      <c r="D7" s="8">
        <v>103823</v>
      </c>
      <c r="E7" s="8">
        <f t="shared" si="0"/>
        <v>2804579</v>
      </c>
    </row>
    <row r="8" spans="1:5" x14ac:dyDescent="0.3">
      <c r="A8" s="5">
        <v>5</v>
      </c>
      <c r="B8" s="5" t="s">
        <v>11</v>
      </c>
      <c r="C8" s="6">
        <v>2933907</v>
      </c>
      <c r="D8" s="6">
        <v>119477</v>
      </c>
      <c r="E8" s="6">
        <f t="shared" si="0"/>
        <v>3053384</v>
      </c>
    </row>
    <row r="9" spans="1:5" x14ac:dyDescent="0.3">
      <c r="A9" s="7">
        <v>6</v>
      </c>
      <c r="B9" s="7" t="s">
        <v>12</v>
      </c>
      <c r="C9" s="8">
        <v>953705</v>
      </c>
      <c r="D9" s="8">
        <v>248</v>
      </c>
      <c r="E9" s="8">
        <f t="shared" si="0"/>
        <v>953953</v>
      </c>
    </row>
    <row r="10" spans="1:5" x14ac:dyDescent="0.3">
      <c r="A10" s="5">
        <v>7</v>
      </c>
      <c r="B10" s="5" t="s">
        <v>13</v>
      </c>
      <c r="C10" s="6">
        <v>1593122</v>
      </c>
      <c r="D10" s="6">
        <v>11227</v>
      </c>
      <c r="E10" s="6">
        <f t="shared" si="0"/>
        <v>1604349</v>
      </c>
    </row>
    <row r="11" spans="1:5" x14ac:dyDescent="0.3">
      <c r="A11" s="7">
        <v>8</v>
      </c>
      <c r="B11" s="7" t="s">
        <v>14</v>
      </c>
      <c r="C11" s="8">
        <v>2497862</v>
      </c>
      <c r="D11" s="8">
        <v>64824</v>
      </c>
      <c r="E11" s="8">
        <f t="shared" si="0"/>
        <v>2562686</v>
      </c>
    </row>
    <row r="12" spans="1:5" x14ac:dyDescent="0.3">
      <c r="A12" s="5">
        <v>9</v>
      </c>
      <c r="B12" s="5" t="s">
        <v>15</v>
      </c>
      <c r="C12" s="6">
        <v>2692537</v>
      </c>
      <c r="D12" s="6">
        <v>104475</v>
      </c>
      <c r="E12" s="6">
        <f t="shared" si="0"/>
        <v>2797012</v>
      </c>
    </row>
    <row r="13" spans="1:5" x14ac:dyDescent="0.3">
      <c r="A13" s="7">
        <v>10</v>
      </c>
      <c r="B13" s="7" t="s">
        <v>16</v>
      </c>
      <c r="C13" s="8">
        <v>2796310</v>
      </c>
      <c r="D13" s="8">
        <v>99637</v>
      </c>
      <c r="E13" s="8">
        <f t="shared" si="0"/>
        <v>2895947</v>
      </c>
    </row>
    <row r="14" spans="1:5" x14ac:dyDescent="0.3">
      <c r="A14" s="9"/>
      <c r="B14" s="9" t="s">
        <v>17</v>
      </c>
      <c r="C14" s="10">
        <f>SUM(C4:C13)</f>
        <v>21513363</v>
      </c>
      <c r="D14" s="10">
        <f>SUM(D4:D13)</f>
        <v>789020</v>
      </c>
      <c r="E14" s="10">
        <f>SUM(E4:E13)</f>
        <v>22302383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zoomScaleNormal="100" workbookViewId="0">
      <pane ySplit="3" topLeftCell="A4" activePane="bottomLeft" state="frozen"/>
      <selection pane="bottomLeft" sqref="A1:E1"/>
    </sheetView>
  </sheetViews>
  <sheetFormatPr defaultColWidth="8.6640625" defaultRowHeight="14.4" x14ac:dyDescent="0.3"/>
  <cols>
    <col min="1" max="1" width="16" customWidth="1"/>
    <col min="2" max="2" width="20" customWidth="1"/>
    <col min="3" max="3" width="22" customWidth="1"/>
    <col min="4" max="4" width="18" customWidth="1"/>
    <col min="5" max="5" width="16" customWidth="1"/>
  </cols>
  <sheetData>
    <row r="1" spans="1:5" ht="30" customHeight="1" x14ac:dyDescent="0.3">
      <c r="A1" s="3" t="s">
        <v>18</v>
      </c>
      <c r="B1" s="3"/>
      <c r="C1" s="3"/>
      <c r="D1" s="3"/>
      <c r="E1" s="3"/>
    </row>
    <row r="2" spans="1:5" ht="18" customHeight="1" x14ac:dyDescent="0.3">
      <c r="A2" s="2" t="s">
        <v>19</v>
      </c>
      <c r="B2" s="2"/>
      <c r="C2" s="2"/>
      <c r="D2" s="2"/>
      <c r="E2" s="2"/>
    </row>
    <row r="3" spans="1:5" ht="31.5" customHeight="1" x14ac:dyDescent="0.3">
      <c r="A3" s="4" t="s">
        <v>3</v>
      </c>
      <c r="B3" s="4" t="s">
        <v>20</v>
      </c>
      <c r="C3" s="4" t="s">
        <v>21</v>
      </c>
      <c r="D3" s="4" t="s">
        <v>22</v>
      </c>
      <c r="E3" s="4" t="s">
        <v>23</v>
      </c>
    </row>
    <row r="4" spans="1:5" x14ac:dyDescent="0.3">
      <c r="A4" s="5" t="s">
        <v>9</v>
      </c>
      <c r="B4" s="11">
        <v>4339.4399999999996</v>
      </c>
      <c r="C4" s="11">
        <v>3149.15</v>
      </c>
      <c r="D4" s="11">
        <f t="shared" ref="D4:D11" si="0">B4+C4</f>
        <v>7488.59</v>
      </c>
      <c r="E4" s="5" t="s">
        <v>24</v>
      </c>
    </row>
    <row r="5" spans="1:5" x14ac:dyDescent="0.3">
      <c r="A5" s="7" t="s">
        <v>10</v>
      </c>
      <c r="B5" s="12">
        <v>4650.6899999999996</v>
      </c>
      <c r="C5" s="12">
        <v>3145.53</v>
      </c>
      <c r="D5" s="12">
        <f t="shared" si="0"/>
        <v>7796.2199999999993</v>
      </c>
      <c r="E5" s="13">
        <f t="shared" ref="E5:E11" si="1">(D5-D4)/D4</f>
        <v>4.1079829447198901E-2</v>
      </c>
    </row>
    <row r="6" spans="1:5" x14ac:dyDescent="0.3">
      <c r="A6" s="5" t="s">
        <v>11</v>
      </c>
      <c r="B6" s="11">
        <v>4537.59</v>
      </c>
      <c r="C6" s="11">
        <v>3221.6</v>
      </c>
      <c r="D6" s="11">
        <f t="shared" si="0"/>
        <v>7759.1900000000005</v>
      </c>
      <c r="E6" s="14">
        <f t="shared" si="1"/>
        <v>-4.749737693394855E-3</v>
      </c>
    </row>
    <row r="7" spans="1:5" x14ac:dyDescent="0.3">
      <c r="A7" s="7" t="s">
        <v>12</v>
      </c>
      <c r="B7" s="12">
        <v>4830.21</v>
      </c>
      <c r="C7" s="12">
        <v>2058.44</v>
      </c>
      <c r="D7" s="12">
        <f t="shared" si="0"/>
        <v>6888.65</v>
      </c>
      <c r="E7" s="13">
        <f t="shared" si="1"/>
        <v>-0.11219470073551502</v>
      </c>
    </row>
    <row r="8" spans="1:5" x14ac:dyDescent="0.3">
      <c r="A8" s="5" t="s">
        <v>13</v>
      </c>
      <c r="B8" s="11">
        <v>5544.59</v>
      </c>
      <c r="C8" s="11">
        <v>2676.08</v>
      </c>
      <c r="D8" s="11">
        <f t="shared" si="0"/>
        <v>8220.67</v>
      </c>
      <c r="E8" s="14">
        <f t="shared" si="1"/>
        <v>0.19336444731551183</v>
      </c>
    </row>
    <row r="9" spans="1:5" x14ac:dyDescent="0.3">
      <c r="A9" s="7" t="s">
        <v>14</v>
      </c>
      <c r="B9" s="12">
        <v>6054.88</v>
      </c>
      <c r="C9" s="12">
        <v>3290.32</v>
      </c>
      <c r="D9" s="12">
        <f t="shared" si="0"/>
        <v>9345.2000000000007</v>
      </c>
      <c r="E9" s="13">
        <f t="shared" si="1"/>
        <v>0.13679298645974119</v>
      </c>
    </row>
    <row r="10" spans="1:5" x14ac:dyDescent="0.3">
      <c r="A10" s="5" t="s">
        <v>15</v>
      </c>
      <c r="B10" s="11">
        <v>5176.6400000000003</v>
      </c>
      <c r="C10" s="11">
        <v>3636.6</v>
      </c>
      <c r="D10" s="11">
        <f t="shared" si="0"/>
        <v>8813.24</v>
      </c>
      <c r="E10" s="14">
        <f t="shared" si="1"/>
        <v>-5.6923340324444731E-2</v>
      </c>
    </row>
    <row r="11" spans="1:5" x14ac:dyDescent="0.3">
      <c r="A11" s="7" t="s">
        <v>16</v>
      </c>
      <c r="B11" s="12">
        <v>6162.89</v>
      </c>
      <c r="C11" s="12">
        <v>3946.45</v>
      </c>
      <c r="D11" s="12">
        <f t="shared" si="0"/>
        <v>10109.34</v>
      </c>
      <c r="E11" s="13">
        <f t="shared" si="1"/>
        <v>0.14706282819939095</v>
      </c>
    </row>
    <row r="12" spans="1:5" x14ac:dyDescent="0.3">
      <c r="A12" s="9" t="s">
        <v>17</v>
      </c>
      <c r="B12" s="15">
        <f>SUM(B4:B11)</f>
        <v>41296.93</v>
      </c>
      <c r="C12" s="15">
        <f>SUM(C4:C11)</f>
        <v>25124.170000000002</v>
      </c>
      <c r="D12" s="15">
        <f>SUM(D4:D11)</f>
        <v>66421.100000000006</v>
      </c>
      <c r="E12" s="9"/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4"/>
  <sheetViews>
    <sheetView zoomScaleNormal="100" workbookViewId="0">
      <pane ySplit="3" topLeftCell="A4" activePane="bottomLeft" state="frozen"/>
      <selection pane="bottomLeft" sqref="A1:C1"/>
    </sheetView>
  </sheetViews>
  <sheetFormatPr defaultColWidth="8.6640625" defaultRowHeight="14.4" x14ac:dyDescent="0.3"/>
  <cols>
    <col min="1" max="1" width="16" customWidth="1"/>
    <col min="2" max="2" width="26" customWidth="1"/>
    <col min="3" max="3" width="16" customWidth="1"/>
  </cols>
  <sheetData>
    <row r="1" spans="1:3" ht="30" customHeight="1" x14ac:dyDescent="0.3">
      <c r="A1" s="3" t="s">
        <v>25</v>
      </c>
      <c r="B1" s="3"/>
      <c r="C1" s="3"/>
    </row>
    <row r="2" spans="1:3" ht="18" customHeight="1" x14ac:dyDescent="0.3">
      <c r="A2" s="2" t="s">
        <v>26</v>
      </c>
      <c r="B2" s="2"/>
      <c r="C2" s="2"/>
    </row>
    <row r="3" spans="1:3" ht="31.5" customHeight="1" x14ac:dyDescent="0.3">
      <c r="A3" s="4" t="s">
        <v>3</v>
      </c>
      <c r="B3" s="4" t="s">
        <v>27</v>
      </c>
      <c r="C3" s="4" t="s">
        <v>23</v>
      </c>
    </row>
    <row r="4" spans="1:3" x14ac:dyDescent="0.3">
      <c r="A4" s="5" t="s">
        <v>7</v>
      </c>
      <c r="B4" s="6">
        <v>16781</v>
      </c>
      <c r="C4" s="16" t="s">
        <v>24</v>
      </c>
    </row>
    <row r="5" spans="1:3" x14ac:dyDescent="0.3">
      <c r="A5" s="7" t="s">
        <v>8</v>
      </c>
      <c r="B5" s="8">
        <v>17620</v>
      </c>
      <c r="C5" s="13">
        <f t="shared" ref="C5:C13" si="0">(B5-B4)/B4</f>
        <v>4.9997020439783088E-2</v>
      </c>
    </row>
    <row r="6" spans="1:3" x14ac:dyDescent="0.3">
      <c r="A6" s="5" t="s">
        <v>9</v>
      </c>
      <c r="B6" s="6">
        <v>19041</v>
      </c>
      <c r="C6" s="14">
        <f t="shared" si="0"/>
        <v>8.0646992054483543E-2</v>
      </c>
    </row>
    <row r="7" spans="1:3" x14ac:dyDescent="0.3">
      <c r="A7" s="7" t="s">
        <v>10</v>
      </c>
      <c r="B7" s="8">
        <v>25528</v>
      </c>
      <c r="C7" s="13">
        <f t="shared" si="0"/>
        <v>0.34068588834620028</v>
      </c>
    </row>
    <row r="8" spans="1:3" x14ac:dyDescent="0.3">
      <c r="A8" s="5" t="s">
        <v>11</v>
      </c>
      <c r="B8" s="6">
        <v>22751</v>
      </c>
      <c r="C8" s="14">
        <f t="shared" si="0"/>
        <v>-0.10878251331870886</v>
      </c>
    </row>
    <row r="9" spans="1:3" x14ac:dyDescent="0.3">
      <c r="A9" s="7" t="s">
        <v>12</v>
      </c>
      <c r="B9" s="8">
        <v>10206</v>
      </c>
      <c r="C9" s="13">
        <f t="shared" si="0"/>
        <v>-0.55140433387543408</v>
      </c>
    </row>
    <row r="10" spans="1:3" x14ac:dyDescent="0.3">
      <c r="A10" s="5" t="s">
        <v>13</v>
      </c>
      <c r="B10" s="6">
        <v>15063</v>
      </c>
      <c r="C10" s="14">
        <f t="shared" si="0"/>
        <v>0.47589653145208699</v>
      </c>
    </row>
    <row r="11" spans="1:3" x14ac:dyDescent="0.3">
      <c r="A11" s="7" t="s">
        <v>14</v>
      </c>
      <c r="B11" s="8">
        <v>24905</v>
      </c>
      <c r="C11" s="13">
        <f t="shared" si="0"/>
        <v>0.65338909911704179</v>
      </c>
    </row>
    <row r="12" spans="1:3" x14ac:dyDescent="0.3">
      <c r="A12" s="5" t="s">
        <v>15</v>
      </c>
      <c r="B12" s="6">
        <v>25403</v>
      </c>
      <c r="C12" s="14">
        <f t="shared" si="0"/>
        <v>1.9995984742019676E-2</v>
      </c>
    </row>
    <row r="13" spans="1:3" x14ac:dyDescent="0.3">
      <c r="A13" s="7" t="s">
        <v>16</v>
      </c>
      <c r="B13" s="8">
        <v>25073</v>
      </c>
      <c r="C13" s="13">
        <f t="shared" si="0"/>
        <v>-1.2990591662402079E-2</v>
      </c>
    </row>
    <row r="14" spans="1:3" x14ac:dyDescent="0.3">
      <c r="A14" s="9" t="s">
        <v>17</v>
      </c>
      <c r="B14" s="10">
        <f>SUM(B4:B13)</f>
        <v>202371</v>
      </c>
      <c r="C14" s="9"/>
    </row>
  </sheetData>
  <mergeCells count="2">
    <mergeCell ref="A1:C1"/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4"/>
  <sheetViews>
    <sheetView tabSelected="1" zoomScaleNormal="100" workbookViewId="0">
      <pane ySplit="3" topLeftCell="A4" activePane="bottomLeft" state="frozen"/>
      <selection pane="bottomLeft" sqref="A1:E1"/>
    </sheetView>
  </sheetViews>
  <sheetFormatPr defaultColWidth="8.6640625" defaultRowHeight="14.4" x14ac:dyDescent="0.3"/>
  <cols>
    <col min="1" max="1" width="16" customWidth="1"/>
    <col min="2" max="2" width="26" customWidth="1"/>
    <col min="3" max="3" width="28" customWidth="1"/>
    <col min="4" max="4" width="22" customWidth="1"/>
    <col min="5" max="5" width="16" customWidth="1"/>
  </cols>
  <sheetData>
    <row r="1" spans="1:5" ht="30" customHeight="1" x14ac:dyDescent="0.3">
      <c r="A1" s="3" t="s">
        <v>28</v>
      </c>
      <c r="B1" s="3"/>
      <c r="C1" s="3"/>
      <c r="D1" s="3"/>
      <c r="E1" s="3"/>
    </row>
    <row r="2" spans="1:5" ht="18" customHeight="1" x14ac:dyDescent="0.3">
      <c r="A2" s="2" t="s">
        <v>29</v>
      </c>
      <c r="B2" s="2"/>
      <c r="C2" s="2"/>
      <c r="D2" s="2"/>
      <c r="E2" s="2"/>
    </row>
    <row r="3" spans="1:5" ht="36" customHeight="1" x14ac:dyDescent="0.3">
      <c r="A3" s="4" t="s">
        <v>3</v>
      </c>
      <c r="B3" s="4" t="s">
        <v>30</v>
      </c>
      <c r="C3" s="4" t="s">
        <v>31</v>
      </c>
      <c r="D3" s="4" t="s">
        <v>32</v>
      </c>
      <c r="E3" s="4" t="s">
        <v>23</v>
      </c>
    </row>
    <row r="4" spans="1:5" x14ac:dyDescent="0.3">
      <c r="A4" s="5" t="s">
        <v>7</v>
      </c>
      <c r="B4" s="11">
        <v>2752.73</v>
      </c>
      <c r="C4" s="11">
        <v>1369.73</v>
      </c>
      <c r="D4" s="11">
        <f t="shared" ref="D4:D13" si="0">B4+C4</f>
        <v>4122.46</v>
      </c>
      <c r="E4" s="16" t="s">
        <v>24</v>
      </c>
    </row>
    <row r="5" spans="1:5" x14ac:dyDescent="0.3">
      <c r="A5" s="7" t="s">
        <v>8</v>
      </c>
      <c r="B5" s="12">
        <v>3260.46</v>
      </c>
      <c r="C5" s="12">
        <v>1637.18</v>
      </c>
      <c r="D5" s="12">
        <f t="shared" si="0"/>
        <v>4897.6400000000003</v>
      </c>
      <c r="E5" s="13">
        <f t="shared" ref="E5:E13" si="1">(D5-D4)/D4</f>
        <v>0.1880382101948837</v>
      </c>
    </row>
    <row r="6" spans="1:5" x14ac:dyDescent="0.3">
      <c r="A6" s="5" t="s">
        <v>9</v>
      </c>
      <c r="B6" s="11">
        <v>4998.88</v>
      </c>
      <c r="C6" s="11">
        <v>2255.96</v>
      </c>
      <c r="D6" s="11">
        <f t="shared" si="0"/>
        <v>7254.84</v>
      </c>
      <c r="E6" s="14">
        <f t="shared" si="1"/>
        <v>0.48129303092918213</v>
      </c>
    </row>
    <row r="7" spans="1:5" x14ac:dyDescent="0.3">
      <c r="A7" s="7" t="s">
        <v>10</v>
      </c>
      <c r="B7" s="12">
        <v>9953.34</v>
      </c>
      <c r="C7" s="12">
        <v>2612.79</v>
      </c>
      <c r="D7" s="12">
        <f t="shared" si="0"/>
        <v>12566.130000000001</v>
      </c>
      <c r="E7" s="13">
        <f t="shared" si="1"/>
        <v>0.73210298228492987</v>
      </c>
    </row>
    <row r="8" spans="1:5" x14ac:dyDescent="0.3">
      <c r="A8" s="5" t="s">
        <v>11</v>
      </c>
      <c r="B8" s="11">
        <v>9159.82</v>
      </c>
      <c r="C8" s="11">
        <v>2530.2399999999998</v>
      </c>
      <c r="D8" s="11">
        <f t="shared" si="0"/>
        <v>11690.06</v>
      </c>
      <c r="E8" s="14">
        <f t="shared" si="1"/>
        <v>-6.9716770397887137E-2</v>
      </c>
    </row>
    <row r="9" spans="1:5" x14ac:dyDescent="0.3">
      <c r="A9" s="7" t="s">
        <v>12</v>
      </c>
      <c r="B9" s="12">
        <v>3150.45</v>
      </c>
      <c r="C9" s="12">
        <v>854.77</v>
      </c>
      <c r="D9" s="12">
        <f t="shared" si="0"/>
        <v>4005.22</v>
      </c>
      <c r="E9" s="13">
        <f t="shared" si="1"/>
        <v>-0.6573824257531613</v>
      </c>
    </row>
    <row r="10" spans="1:5" x14ac:dyDescent="0.3">
      <c r="A10" s="5" t="s">
        <v>13</v>
      </c>
      <c r="B10" s="11">
        <v>5077.99</v>
      </c>
      <c r="C10" s="11">
        <v>994.8</v>
      </c>
      <c r="D10" s="11">
        <f t="shared" si="0"/>
        <v>6072.79</v>
      </c>
      <c r="E10" s="14">
        <f t="shared" si="1"/>
        <v>0.51621883442108052</v>
      </c>
    </row>
    <row r="11" spans="1:5" x14ac:dyDescent="0.3">
      <c r="A11" s="7" t="s">
        <v>14</v>
      </c>
      <c r="B11" s="12">
        <v>7556.95</v>
      </c>
      <c r="C11" s="12">
        <v>1795.34</v>
      </c>
      <c r="D11" s="12">
        <f t="shared" si="0"/>
        <v>9352.2899999999991</v>
      </c>
      <c r="E11" s="13">
        <f t="shared" si="1"/>
        <v>0.54003184697643081</v>
      </c>
    </row>
    <row r="12" spans="1:5" x14ac:dyDescent="0.3">
      <c r="A12" s="5" t="s">
        <v>15</v>
      </c>
      <c r="B12" s="11">
        <v>8179.42</v>
      </c>
      <c r="C12" s="11">
        <v>1923.68</v>
      </c>
      <c r="D12" s="11">
        <f t="shared" si="0"/>
        <v>10103.1</v>
      </c>
      <c r="E12" s="14">
        <f t="shared" si="1"/>
        <v>8.0280872385266211E-2</v>
      </c>
    </row>
    <row r="13" spans="1:5" x14ac:dyDescent="0.3">
      <c r="A13" s="7" t="s">
        <v>16</v>
      </c>
      <c r="B13" s="12">
        <v>11560.38</v>
      </c>
      <c r="C13" s="12">
        <v>2392.6799999999998</v>
      </c>
      <c r="D13" s="12">
        <f t="shared" si="0"/>
        <v>13953.06</v>
      </c>
      <c r="E13" s="13">
        <f t="shared" si="1"/>
        <v>0.38106719719689985</v>
      </c>
    </row>
    <row r="14" spans="1:5" x14ac:dyDescent="0.3">
      <c r="A14" s="9" t="s">
        <v>17</v>
      </c>
      <c r="B14" s="15">
        <f>SUM(B4:B13)</f>
        <v>65650.42</v>
      </c>
      <c r="C14" s="15">
        <f>SUM(C4:C13)</f>
        <v>18367.169999999998</v>
      </c>
      <c r="D14" s="15">
        <f>SUM(D4:D13)</f>
        <v>84017.59</v>
      </c>
      <c r="E14" s="9"/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4"/>
  <sheetViews>
    <sheetView zoomScaleNormal="100" workbookViewId="0">
      <pane ySplit="3" topLeftCell="A4" activePane="bottomLeft" state="frozen"/>
      <selection pane="bottomLeft"/>
    </sheetView>
  </sheetViews>
  <sheetFormatPr defaultColWidth="8.6640625" defaultRowHeight="14.4" x14ac:dyDescent="0.3"/>
  <cols>
    <col min="1" max="1" width="16" customWidth="1"/>
    <col min="2" max="2" width="26" customWidth="1"/>
    <col min="3" max="3" width="18" customWidth="1"/>
  </cols>
  <sheetData>
    <row r="1" spans="1:3" ht="30" customHeight="1" x14ac:dyDescent="0.3">
      <c r="A1" s="3" t="s">
        <v>33</v>
      </c>
      <c r="B1" s="3"/>
      <c r="C1" s="3"/>
    </row>
    <row r="2" spans="1:3" x14ac:dyDescent="0.3">
      <c r="A2" s="2" t="s">
        <v>29</v>
      </c>
      <c r="B2" s="2"/>
      <c r="C2" s="2"/>
    </row>
    <row r="3" spans="1:3" ht="31.5" customHeight="1" x14ac:dyDescent="0.3">
      <c r="A3" s="4" t="s">
        <v>3</v>
      </c>
      <c r="B3" s="4" t="s">
        <v>34</v>
      </c>
      <c r="C3" s="4" t="s">
        <v>35</v>
      </c>
    </row>
    <row r="4" spans="1:3" x14ac:dyDescent="0.3">
      <c r="A4" s="5" t="s">
        <v>7</v>
      </c>
      <c r="B4" s="11">
        <v>174.19</v>
      </c>
      <c r="C4" s="16" t="s">
        <v>24</v>
      </c>
    </row>
    <row r="5" spans="1:3" x14ac:dyDescent="0.3">
      <c r="A5" s="7" t="s">
        <v>8</v>
      </c>
      <c r="B5" s="12">
        <v>1344.84</v>
      </c>
      <c r="C5" s="13">
        <f t="shared" ref="C5:C13" si="0">(B5-B4)/B4</f>
        <v>6.7205350479361607</v>
      </c>
    </row>
    <row r="6" spans="1:3" x14ac:dyDescent="0.3">
      <c r="A6" s="5" t="s">
        <v>9</v>
      </c>
      <c r="B6" s="11">
        <v>1296.53</v>
      </c>
      <c r="C6" s="14">
        <f t="shared" si="0"/>
        <v>-3.5922488920615052E-2</v>
      </c>
    </row>
    <row r="7" spans="1:3" x14ac:dyDescent="0.3">
      <c r="A7" s="7" t="s">
        <v>10</v>
      </c>
      <c r="B7" s="12">
        <v>1541.4</v>
      </c>
      <c r="C7" s="13">
        <f t="shared" si="0"/>
        <v>0.18886566450448514</v>
      </c>
    </row>
    <row r="8" spans="1:3" x14ac:dyDescent="0.3">
      <c r="A8" s="5" t="s">
        <v>11</v>
      </c>
      <c r="B8" s="11">
        <v>569.09</v>
      </c>
      <c r="C8" s="14">
        <f t="shared" si="0"/>
        <v>-0.63079667834436226</v>
      </c>
    </row>
    <row r="9" spans="1:3" x14ac:dyDescent="0.3">
      <c r="A9" s="7" t="s">
        <v>12</v>
      </c>
      <c r="B9" s="12">
        <v>698.71</v>
      </c>
      <c r="C9" s="13">
        <f t="shared" si="0"/>
        <v>0.22776713700820608</v>
      </c>
    </row>
    <row r="10" spans="1:3" x14ac:dyDescent="0.3">
      <c r="A10" s="5" t="s">
        <v>13</v>
      </c>
      <c r="B10" s="11">
        <v>2341.8200000000002</v>
      </c>
      <c r="C10" s="14">
        <f t="shared" si="0"/>
        <v>2.3516337250075141</v>
      </c>
    </row>
    <row r="11" spans="1:3" x14ac:dyDescent="0.3">
      <c r="A11" s="7" t="s">
        <v>14</v>
      </c>
      <c r="B11" s="12">
        <v>865.23</v>
      </c>
      <c r="C11" s="13">
        <f t="shared" si="0"/>
        <v>-0.63053095455671226</v>
      </c>
    </row>
    <row r="12" spans="1:3" x14ac:dyDescent="0.3">
      <c r="A12" s="5" t="s">
        <v>15</v>
      </c>
      <c r="B12" s="11">
        <v>1074.42</v>
      </c>
      <c r="C12" s="14">
        <f t="shared" si="0"/>
        <v>0.24177386359696271</v>
      </c>
    </row>
    <row r="13" spans="1:3" x14ac:dyDescent="0.3">
      <c r="A13" s="7" t="s">
        <v>16</v>
      </c>
      <c r="B13" s="12">
        <v>4084.69</v>
      </c>
      <c r="C13" s="13">
        <f t="shared" si="0"/>
        <v>2.8017628115634481</v>
      </c>
    </row>
    <row r="14" spans="1:3" x14ac:dyDescent="0.3">
      <c r="A14" s="9" t="s">
        <v>17</v>
      </c>
      <c r="B14" s="15">
        <f>SUM(B4:B13)</f>
        <v>13990.92</v>
      </c>
      <c r="C14" s="9"/>
    </row>
  </sheetData>
  <mergeCells count="2">
    <mergeCell ref="A1:C1"/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2"/>
  <sheetViews>
    <sheetView zoomScaleNormal="100" workbookViewId="0">
      <pane ySplit="2" topLeftCell="A3" activePane="bottomLeft" state="frozen"/>
      <selection pane="bottomLeft"/>
    </sheetView>
  </sheetViews>
  <sheetFormatPr defaultColWidth="8.6640625" defaultRowHeight="14.4" x14ac:dyDescent="0.3"/>
  <cols>
    <col min="1" max="2" width="16" customWidth="1"/>
    <col min="3" max="3" width="20" customWidth="1"/>
    <col min="4" max="4" width="14" customWidth="1"/>
    <col min="5" max="5" width="22" customWidth="1"/>
    <col min="6" max="6" width="24" customWidth="1"/>
    <col min="7" max="7" width="26" customWidth="1"/>
    <col min="8" max="8" width="22" customWidth="1"/>
    <col min="9" max="9" width="24" customWidth="1"/>
    <col min="10" max="10" width="18" customWidth="1"/>
  </cols>
  <sheetData>
    <row r="1" spans="1:10" ht="27.75" customHeight="1" x14ac:dyDescent="0.3">
      <c r="A1" s="1" t="s">
        <v>36</v>
      </c>
      <c r="B1" s="1"/>
      <c r="C1" s="1"/>
      <c r="D1" s="1"/>
      <c r="E1" s="1"/>
      <c r="F1" s="1"/>
      <c r="G1" s="1"/>
      <c r="H1" s="1"/>
      <c r="I1" s="1"/>
      <c r="J1" s="1"/>
    </row>
    <row r="2" spans="1:10" ht="36" customHeight="1" x14ac:dyDescent="0.3">
      <c r="A2" s="4" t="s">
        <v>3</v>
      </c>
      <c r="B2" s="4" t="s">
        <v>4</v>
      </c>
      <c r="C2" s="4" t="s">
        <v>5</v>
      </c>
      <c r="D2" s="4" t="s">
        <v>6</v>
      </c>
      <c r="E2" s="4" t="s">
        <v>37</v>
      </c>
      <c r="F2" s="4" t="s">
        <v>38</v>
      </c>
      <c r="G2" s="4" t="s">
        <v>39</v>
      </c>
      <c r="H2" s="4" t="s">
        <v>32</v>
      </c>
      <c r="I2" s="4" t="s">
        <v>34</v>
      </c>
      <c r="J2" s="4" t="s">
        <v>22</v>
      </c>
    </row>
    <row r="3" spans="1:10" x14ac:dyDescent="0.3">
      <c r="A3" s="7" t="s">
        <v>7</v>
      </c>
      <c r="B3" s="8">
        <v>1483014</v>
      </c>
      <c r="C3" s="8">
        <v>70010</v>
      </c>
      <c r="D3" s="8">
        <f t="shared" ref="D3:D12" si="0">B3+C3</f>
        <v>1553024</v>
      </c>
      <c r="E3" s="8">
        <v>16781</v>
      </c>
      <c r="F3" s="12">
        <v>2752.73</v>
      </c>
      <c r="G3" s="12">
        <v>1369.73</v>
      </c>
      <c r="H3" s="12">
        <f t="shared" ref="H3:H12" si="1">F3+G3</f>
        <v>4122.46</v>
      </c>
      <c r="I3" s="12">
        <v>174.19</v>
      </c>
      <c r="J3" s="7" t="s">
        <v>24</v>
      </c>
    </row>
    <row r="4" spans="1:10" x14ac:dyDescent="0.3">
      <c r="A4" s="5" t="s">
        <v>8</v>
      </c>
      <c r="B4" s="6">
        <v>1791607</v>
      </c>
      <c r="C4" s="6">
        <v>109403</v>
      </c>
      <c r="D4" s="6">
        <f t="shared" si="0"/>
        <v>1901010</v>
      </c>
      <c r="E4" s="6">
        <v>17620</v>
      </c>
      <c r="F4" s="11">
        <v>3260.46</v>
      </c>
      <c r="G4" s="11">
        <v>1637.18</v>
      </c>
      <c r="H4" s="11">
        <f t="shared" si="1"/>
        <v>4897.6400000000003</v>
      </c>
      <c r="I4" s="11">
        <v>1344.84</v>
      </c>
      <c r="J4" s="5" t="s">
        <v>24</v>
      </c>
    </row>
    <row r="5" spans="1:10" x14ac:dyDescent="0.3">
      <c r="A5" s="7" t="s">
        <v>9</v>
      </c>
      <c r="B5" s="8">
        <v>2070543</v>
      </c>
      <c r="C5" s="8">
        <v>105896</v>
      </c>
      <c r="D5" s="8">
        <f t="shared" si="0"/>
        <v>2176439</v>
      </c>
      <c r="E5" s="8">
        <v>19041</v>
      </c>
      <c r="F5" s="12">
        <v>4998.88</v>
      </c>
      <c r="G5" s="12">
        <v>2255.96</v>
      </c>
      <c r="H5" s="12">
        <f t="shared" si="1"/>
        <v>7254.84</v>
      </c>
      <c r="I5" s="12">
        <v>1296.53</v>
      </c>
      <c r="J5" s="12">
        <v>7488.59</v>
      </c>
    </row>
    <row r="6" spans="1:10" x14ac:dyDescent="0.3">
      <c r="A6" s="5" t="s">
        <v>10</v>
      </c>
      <c r="B6" s="6">
        <v>2700756</v>
      </c>
      <c r="C6" s="6">
        <v>103823</v>
      </c>
      <c r="D6" s="6">
        <f t="shared" si="0"/>
        <v>2804579</v>
      </c>
      <c r="E6" s="6">
        <v>25528</v>
      </c>
      <c r="F6" s="11">
        <v>9953.34</v>
      </c>
      <c r="G6" s="11">
        <v>2612.79</v>
      </c>
      <c r="H6" s="11">
        <f t="shared" si="1"/>
        <v>12566.130000000001</v>
      </c>
      <c r="I6" s="11">
        <v>1541.4</v>
      </c>
      <c r="J6" s="11">
        <v>7796.22</v>
      </c>
    </row>
    <row r="7" spans="1:10" x14ac:dyDescent="0.3">
      <c r="A7" s="7" t="s">
        <v>11</v>
      </c>
      <c r="B7" s="8">
        <v>2933907</v>
      </c>
      <c r="C7" s="8">
        <v>119477</v>
      </c>
      <c r="D7" s="8">
        <f t="shared" si="0"/>
        <v>3053384</v>
      </c>
      <c r="E7" s="8">
        <v>22751</v>
      </c>
      <c r="F7" s="12">
        <v>9159.82</v>
      </c>
      <c r="G7" s="12">
        <v>2530.2399999999998</v>
      </c>
      <c r="H7" s="12">
        <f t="shared" si="1"/>
        <v>11690.06</v>
      </c>
      <c r="I7" s="12">
        <v>569.09</v>
      </c>
      <c r="J7" s="12">
        <v>7759.19</v>
      </c>
    </row>
    <row r="8" spans="1:10" x14ac:dyDescent="0.3">
      <c r="A8" s="5" t="s">
        <v>12</v>
      </c>
      <c r="B8" s="6">
        <v>953705</v>
      </c>
      <c r="C8" s="6">
        <v>248</v>
      </c>
      <c r="D8" s="6">
        <f t="shared" si="0"/>
        <v>953953</v>
      </c>
      <c r="E8" s="6">
        <v>10206</v>
      </c>
      <c r="F8" s="11">
        <v>3150.45</v>
      </c>
      <c r="G8" s="11">
        <v>854.77</v>
      </c>
      <c r="H8" s="11">
        <f t="shared" si="1"/>
        <v>4005.22</v>
      </c>
      <c r="I8" s="11">
        <v>698.71</v>
      </c>
      <c r="J8" s="11">
        <v>6888.65</v>
      </c>
    </row>
    <row r="9" spans="1:10" x14ac:dyDescent="0.3">
      <c r="A9" s="7" t="s">
        <v>13</v>
      </c>
      <c r="B9" s="8">
        <v>1593122</v>
      </c>
      <c r="C9" s="8">
        <v>11227</v>
      </c>
      <c r="D9" s="8">
        <f t="shared" si="0"/>
        <v>1604349</v>
      </c>
      <c r="E9" s="8">
        <v>15063</v>
      </c>
      <c r="F9" s="12">
        <v>5077.99</v>
      </c>
      <c r="G9" s="12">
        <v>994.8</v>
      </c>
      <c r="H9" s="12">
        <f t="shared" si="1"/>
        <v>6072.79</v>
      </c>
      <c r="I9" s="12">
        <v>2341.8200000000002</v>
      </c>
      <c r="J9" s="12">
        <v>8220.67</v>
      </c>
    </row>
    <row r="10" spans="1:10" x14ac:dyDescent="0.3">
      <c r="A10" s="5" t="s">
        <v>14</v>
      </c>
      <c r="B10" s="6">
        <v>2497862</v>
      </c>
      <c r="C10" s="6">
        <v>64824</v>
      </c>
      <c r="D10" s="6">
        <f t="shared" si="0"/>
        <v>2562686</v>
      </c>
      <c r="E10" s="6">
        <v>24905</v>
      </c>
      <c r="F10" s="11">
        <v>7556.95</v>
      </c>
      <c r="G10" s="11">
        <v>1795.34</v>
      </c>
      <c r="H10" s="11">
        <f t="shared" si="1"/>
        <v>9352.2899999999991</v>
      </c>
      <c r="I10" s="11">
        <v>865.23</v>
      </c>
      <c r="J10" s="11">
        <v>9345.2000000000007</v>
      </c>
    </row>
    <row r="11" spans="1:10" x14ac:dyDescent="0.3">
      <c r="A11" s="7" t="s">
        <v>15</v>
      </c>
      <c r="B11" s="8">
        <v>2692537</v>
      </c>
      <c r="C11" s="8">
        <v>104475</v>
      </c>
      <c r="D11" s="8">
        <f t="shared" si="0"/>
        <v>2797012</v>
      </c>
      <c r="E11" s="8">
        <v>25403</v>
      </c>
      <c r="F11" s="12">
        <v>8179.42</v>
      </c>
      <c r="G11" s="12">
        <v>1923.68</v>
      </c>
      <c r="H11" s="12">
        <f t="shared" si="1"/>
        <v>10103.1</v>
      </c>
      <c r="I11" s="12">
        <v>1074.42</v>
      </c>
      <c r="J11" s="12">
        <v>8813.24</v>
      </c>
    </row>
    <row r="12" spans="1:10" x14ac:dyDescent="0.3">
      <c r="A12" s="5" t="s">
        <v>16</v>
      </c>
      <c r="B12" s="6">
        <v>2796310</v>
      </c>
      <c r="C12" s="6">
        <v>99637</v>
      </c>
      <c r="D12" s="6">
        <f t="shared" si="0"/>
        <v>2895947</v>
      </c>
      <c r="E12" s="6">
        <v>25073</v>
      </c>
      <c r="F12" s="11">
        <v>11560.38</v>
      </c>
      <c r="G12" s="11">
        <v>2392.6799999999998</v>
      </c>
      <c r="H12" s="11">
        <f t="shared" si="1"/>
        <v>13953.06</v>
      </c>
      <c r="I12" s="11">
        <v>4084.69</v>
      </c>
      <c r="J12" s="11">
        <v>10109.34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Passenger Traffic</vt:lpstr>
      <vt:lpstr>Cargo Traffic</vt:lpstr>
      <vt:lpstr>Aircraft Movements</vt:lpstr>
      <vt:lpstr>Airport Revenue</vt:lpstr>
      <vt:lpstr>Capital Expenditure</vt:lpstr>
      <vt:lpstr>Master Data (Power BI)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Chirag Lohakare</dc:creator>
  <dc:description/>
  <cp:lastModifiedBy>Chirag Lohakare</cp:lastModifiedBy>
  <cp:revision>0</cp:revision>
  <dcterms:created xsi:type="dcterms:W3CDTF">2026-05-28T13:34:11Z</dcterms:created>
  <dcterms:modified xsi:type="dcterms:W3CDTF">2026-06-08T13:42:39Z</dcterms:modified>
  <dc:language>en-US</dc:language>
</cp:coreProperties>
</file>